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utoronto-my.sharepoint.com/personal/elisa_zuliani_rotman_utoronto_ca/Documents/Desktop/RSM222 - Fall 2025/Class 7/"/>
    </mc:Choice>
  </mc:AlternateContent>
  <xr:revisionPtr revIDLastSave="0" documentId="8_{229F801B-B35F-4830-B29F-31AC16D557D3}" xr6:coauthVersionLast="47" xr6:coauthVersionMax="47" xr10:uidLastSave="{00000000-0000-0000-0000-000000000000}"/>
  <bookViews>
    <workbookView xWindow="-28920" yWindow="2790" windowWidth="29040" windowHeight="15840" xr2:uid="{821DBB06-7109-41BA-80E7-4B45A241777F}"/>
  </bookViews>
  <sheets>
    <sheet name="Intro" sheetId="1" r:id="rId1"/>
    <sheet name="1) Sales Budget" sheetId="6" r:id="rId2"/>
    <sheet name="2) Cash Collection" sheetId="7" r:id="rId3"/>
    <sheet name="3) Production Budget" sheetId="8" r:id="rId4"/>
    <sheet name="4) DM Purchases Budget" sheetId="9" r:id="rId5"/>
    <sheet name="5) Cash Disbursements" sheetId="10" r:id="rId6"/>
    <sheet name="6) Manufacturing OH Budget"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6" i="9" l="1"/>
  <c r="H24" i="9"/>
  <c r="H23" i="9"/>
  <c r="H21" i="9"/>
  <c r="H19" i="9"/>
  <c r="H18" i="9"/>
  <c r="H16" i="9"/>
  <c r="I14" i="8"/>
  <c r="G15" i="8"/>
  <c r="G16" i="8" s="1"/>
  <c r="G17" i="8"/>
  <c r="G19" i="8"/>
  <c r="G16" i="9" s="1"/>
  <c r="H14" i="8"/>
  <c r="F15" i="8"/>
  <c r="G14" i="8"/>
  <c r="G25" i="11"/>
  <c r="G21" i="11"/>
  <c r="E25" i="11"/>
  <c r="F25" i="11"/>
  <c r="D25" i="11"/>
  <c r="E21" i="11"/>
  <c r="F21" i="11"/>
  <c r="D21" i="11"/>
  <c r="G8" i="10"/>
  <c r="E17" i="8"/>
  <c r="D16" i="8"/>
  <c r="D15" i="8"/>
  <c r="E22" i="7"/>
  <c r="F22" i="7"/>
  <c r="G22" i="7"/>
  <c r="D22" i="7"/>
  <c r="F20" i="7"/>
  <c r="E19" i="7"/>
  <c r="G18" i="7"/>
  <c r="F21" i="7"/>
  <c r="G21" i="7" s="1"/>
  <c r="E20" i="7"/>
  <c r="D19" i="7"/>
  <c r="F12" i="6"/>
  <c r="F14" i="6" s="1"/>
  <c r="E12" i="6"/>
  <c r="E14" i="6" s="1"/>
  <c r="D12" i="6"/>
  <c r="G12" i="6" s="1"/>
  <c r="F14" i="8"/>
  <c r="F17" i="8" s="1"/>
  <c r="E14" i="8"/>
  <c r="D14" i="8"/>
  <c r="D17" i="8" l="1"/>
  <c r="E15" i="8"/>
  <c r="F19" i="8"/>
  <c r="F16" i="9" s="1"/>
  <c r="F16" i="11" s="1"/>
  <c r="F16" i="8"/>
  <c r="D14" i="6"/>
  <c r="G14" i="6" s="1"/>
  <c r="G19" i="7"/>
  <c r="G20" i="7"/>
  <c r="E19" i="8" l="1"/>
  <c r="E16" i="9" s="1"/>
  <c r="E16" i="8"/>
  <c r="I16" i="8" s="1"/>
  <c r="I17" i="8"/>
  <c r="D19" i="8"/>
  <c r="I15" i="8"/>
  <c r="F18" i="9"/>
  <c r="F19" i="11"/>
  <c r="F23" i="11" s="1"/>
  <c r="F27" i="11" s="1"/>
  <c r="D16" i="9" l="1"/>
  <c r="I19" i="8"/>
  <c r="E18" i="9"/>
  <c r="E16" i="11"/>
  <c r="E19" i="11" s="1"/>
  <c r="E23" i="11" s="1"/>
  <c r="E27" i="11" s="1"/>
  <c r="E19" i="9"/>
  <c r="F23" i="9"/>
  <c r="D19" i="9" l="1"/>
  <c r="E23" i="9"/>
  <c r="E21" i="9"/>
  <c r="E24" i="9" s="1"/>
  <c r="E26" i="9" s="1"/>
  <c r="F10" i="10" s="1"/>
  <c r="D16" i="11"/>
  <c r="D18" i="9"/>
  <c r="D19" i="11" l="1"/>
  <c r="D23" i="11" s="1"/>
  <c r="D27" i="11" s="1"/>
  <c r="G16" i="11"/>
  <c r="G19" i="11" s="1"/>
  <c r="G23" i="11" s="1"/>
  <c r="G27" i="11" s="1"/>
  <c r="E10" i="10"/>
  <c r="D23" i="9"/>
  <c r="D24" i="9" s="1"/>
  <c r="D26" i="9" s="1"/>
  <c r="D21" i="9"/>
  <c r="G10" i="10"/>
  <c r="G18" i="9"/>
  <c r="F19" i="9" s="1"/>
  <c r="F21" i="9" s="1"/>
  <c r="F24" i="9" s="1"/>
  <c r="F26" i="9" s="1"/>
  <c r="F11" i="10" s="1"/>
  <c r="D9" i="10" l="1"/>
  <c r="E9" i="10"/>
  <c r="E12" i="10" s="1"/>
  <c r="G11" i="10"/>
  <c r="F12" i="10"/>
  <c r="G9" i="10" l="1"/>
  <c r="D12" i="10"/>
  <c r="G12" i="10"/>
</calcChain>
</file>

<file path=xl/sharedStrings.xml><?xml version="1.0" encoding="utf-8"?>
<sst xmlns="http://schemas.openxmlformats.org/spreadsheetml/2006/main" count="100" uniqueCount="72">
  <si>
    <t>July</t>
  </si>
  <si>
    <t>August</t>
  </si>
  <si>
    <t>September</t>
  </si>
  <si>
    <t>October</t>
  </si>
  <si>
    <t>November</t>
  </si>
  <si>
    <t>December</t>
  </si>
  <si>
    <t>Crydon Inc. manufactures an advanced swim fin for scuba divers. Management is now preparing detailed budgets for the third quarter, July through September and has assembled the following information to assist in preparing the budget:</t>
  </si>
  <si>
    <t>a)</t>
  </si>
  <si>
    <t>The marketing Department has estimated sales as follows for the remainder of the year (pairs of swim fins):</t>
  </si>
  <si>
    <t>The selling price of the swim fins is $50 per pair.</t>
  </si>
  <si>
    <t>b)</t>
  </si>
  <si>
    <t xml:space="preserve"> All sales are on account. Based on past experience, sales are expected to be collected in the following pattern:</t>
  </si>
  <si>
    <t>• 40% in the month of sale</t>
  </si>
  <si>
    <t>• 50% in the month following the sale</t>
  </si>
  <si>
    <t>• 10% uncollectible</t>
  </si>
  <si>
    <t>The company maintains finished goods inventories equal to 10% of the following month’s sales. The inventory of finished goods on July 1st will be 600 pairs.</t>
  </si>
  <si>
    <t>Each pair of swim fins requires 2 pounds of grelco compound. To prevent shortages, the company would like the inventory of grelco compound on hand at the end of each month to be equal to 20% of the following month’s production needs. The inventory of grelco compound on hand on July 1 will be 2,440kg.</t>
  </si>
  <si>
    <t>c)</t>
  </si>
  <si>
    <t>d)</t>
  </si>
  <si>
    <t xml:space="preserve"> Grelco compound costs $2.50 per kg. Crydon pays of 60% of its purchases in the month of purchase, the remainder is paid for in the following month. The accounts payable balance for grelco compound purchases will be $11,400 on July 1st.</t>
  </si>
  <si>
    <t>9-11</t>
  </si>
  <si>
    <t>Budgeted sales (pairs)</t>
  </si>
  <si>
    <t>Selling price per pair</t>
  </si>
  <si>
    <t>Total budgeted sales</t>
  </si>
  <si>
    <t>1)</t>
  </si>
  <si>
    <t>Prepare a sales budget, by month and in total for the third quarter.</t>
  </si>
  <si>
    <t>The sales budget is the starting point for preparing the master budget. The sales budget considers the budgeted sales in units * the selling price.</t>
  </si>
  <si>
    <t>Quarter</t>
  </si>
  <si>
    <t>Prepare a schedule of expected cash collection by month and in total for the third quarter.</t>
  </si>
  <si>
    <t>A/R: Beginning</t>
  </si>
  <si>
    <t xml:space="preserve">     July Sales</t>
  </si>
  <si>
    <t xml:space="preserve">    August Sales</t>
  </si>
  <si>
    <t xml:space="preserve">    September Sales</t>
  </si>
  <si>
    <t xml:space="preserve">    Total budgeted sales</t>
  </si>
  <si>
    <t>Prepare a production budget for each of the months July through October.</t>
  </si>
  <si>
    <t>3)</t>
  </si>
  <si>
    <t>2)</t>
  </si>
  <si>
    <t>The schedule of expected cash collection will be necessary to prepare a cash budget.    This computation 
will help us determine how much cash the company can expect to collect from their sales.   The 
computations in this budget will be dependent on the results of the sales budget.
If there is a cash shortfall for any given period, the company must address how they will address this 
issue.  The company will need to borrow or find an alternative source of cash to ensure their operations 
can continue.</t>
  </si>
  <si>
    <t>The production budget shows the number of units that must be produced for a given budget period. It must be prepared after the sales budget as it incorporate the budgeted sales quantities and consideration to beginning and ending inventory must also be given.</t>
  </si>
  <si>
    <t>Budgeted Sales</t>
  </si>
  <si>
    <t>Total Units Needed</t>
  </si>
  <si>
    <t>Required Production units</t>
  </si>
  <si>
    <t>+ Desired Ending Inv.</t>
  </si>
  <si>
    <t>- Beg. Inventory</t>
  </si>
  <si>
    <t>The direct materials purchases budget shows the amount of raw materials that must be purchased for a given budget period. It must be prepared after the production budget as it will be based on the required units of productions.
In this case, it is important to determine how much grelco is needed for a pair of fins (unit of production) as well as how much grelco is required in inventory.</t>
  </si>
  <si>
    <t>Budgeted Production</t>
  </si>
  <si>
    <t>DM needed per unit</t>
  </si>
  <si>
    <t>Grelco needed for production</t>
  </si>
  <si>
    <t>Add ending Inventory</t>
  </si>
  <si>
    <t>TOTAL GRELCO NEEDS</t>
  </si>
  <si>
    <t>Grelco to Purchase (lbs)</t>
  </si>
  <si>
    <t>Cost of Raw Materials purchases (@$2.5/lbs)</t>
  </si>
  <si>
    <t>Prepare a Direct Materials Purchases Budget by month and in total for the third quarter:</t>
  </si>
  <si>
    <t>4)</t>
  </si>
  <si>
    <t>Prepare a schedule of cash disbursements by month and in total for the third quarter.</t>
  </si>
  <si>
    <t>July Purchases</t>
  </si>
  <si>
    <t>August Purchases</t>
  </si>
  <si>
    <t>September purchases</t>
  </si>
  <si>
    <t>Total Cash Disbursement</t>
  </si>
  <si>
    <t>AP: Beginning of Period</t>
  </si>
  <si>
    <t>Prepare a Manufacturing Overhead Budget with the related cash disbursement by month and in total for the third quarter</t>
  </si>
  <si>
    <t>6)</t>
  </si>
  <si>
    <t>In the production of fins, Crydon incurs a cost of $0.4 of variable OH cost per unit and their estimated MOH for the current year is $875,000. The MOH are allocated based on the units produced and the budgeted total units for the year has been set at 65,000 units. From the total fixed MOH, $240,000 relate to depreciation.</t>
  </si>
  <si>
    <t>Variable OH rate</t>
  </si>
  <si>
    <t>Total Variable MOH</t>
  </si>
  <si>
    <t>Fixed OH per month ($875,000/12)</t>
  </si>
  <si>
    <t>Total MOH</t>
  </si>
  <si>
    <t>Less Depreciation ($240,000/12)</t>
  </si>
  <si>
    <t>Cash Disbursement for MOH</t>
  </si>
  <si>
    <t>Budgeted Units</t>
  </si>
  <si>
    <t>The AR balance on July 1st (excluding the uncollectible portion) was $130,000.</t>
  </si>
  <si>
    <t>Less Beg.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</si>
</sst>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4" formatCode="_-&quot;$&quot;* #,##0.00_-;\-&quot;$&quot;* #,##0.00_-;_-&quot;$&quot;* &quot;-&quot;??_-;_-@_-"/>
    <numFmt numFmtId="43" formatCode="_-* #,##0.00_-;\-* #,##0.00_-;_-* &quot;-&quot;??_-;_-@_-"/>
    <numFmt numFmtId="164" formatCode="_-&quot;$&quot;* #,##0_-;\-&quot;$&quot;* #,##0_-;_-&quot;$&quot;* &quot;-&quot;??_-;_-@_-"/>
    <numFmt numFmtId="165" formatCode="_-* #,##0_-;\-* #,##0_-;_-* &quot;-&quot;??_-;_-@_-"/>
  </numFmts>
  <fonts count="4" x14ac:knownFonts="1">
    <font>
      <sz val="11"/>
      <color theme="1"/>
      <name val="Calibri"/>
      <family val="2"/>
      <scheme val="minor"/>
    </font>
    <font>
      <sz val="11"/>
      <color theme="1"/>
      <name val="Calibri"/>
      <family val="2"/>
      <scheme val="minor"/>
    </font>
    <font>
      <sz val="8"/>
      <name val="Calibri"/>
      <family val="2"/>
      <scheme val="minor"/>
    </font>
    <font>
      <b/>
      <u/>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0" fontId="0" fillId="0" borderId="0" xfId="0" quotePrefix="1"/>
    <xf numFmtId="0" fontId="0" fillId="0" borderId="0" xfId="0" applyAlignment="1">
      <alignment horizontal="center" vertical="center" wrapText="1"/>
    </xf>
    <xf numFmtId="0" fontId="0" fillId="0" borderId="1" xfId="0" applyBorder="1"/>
    <xf numFmtId="0" fontId="0" fillId="0" borderId="0" xfId="0" applyAlignment="1">
      <alignment vertical="center" wrapText="1"/>
    </xf>
    <xf numFmtId="16" fontId="3" fillId="0" borderId="0" xfId="0" quotePrefix="1" applyNumberFormat="1" applyFont="1"/>
    <xf numFmtId="3" fontId="0" fillId="0" borderId="0" xfId="0" applyNumberFormat="1"/>
    <xf numFmtId="6" fontId="0" fillId="0" borderId="0" xfId="0" applyNumberFormat="1"/>
    <xf numFmtId="44" fontId="0" fillId="0" borderId="1" xfId="2" applyFont="1" applyBorder="1"/>
    <xf numFmtId="164" fontId="0" fillId="0" borderId="1" xfId="2" applyNumberFormat="1" applyFont="1" applyBorder="1"/>
    <xf numFmtId="164" fontId="0" fillId="0" borderId="0" xfId="2" applyNumberFormat="1" applyFont="1"/>
    <xf numFmtId="0" fontId="0" fillId="2" borderId="1" xfId="0" applyFill="1" applyBorder="1"/>
    <xf numFmtId="3" fontId="0" fillId="0" borderId="1" xfId="0" applyNumberFormat="1" applyBorder="1"/>
    <xf numFmtId="0" fontId="0" fillId="2" borderId="1" xfId="0" quotePrefix="1" applyFill="1" applyBorder="1"/>
    <xf numFmtId="6" fontId="0" fillId="2" borderId="1" xfId="0" applyNumberFormat="1" applyFill="1" applyBorder="1"/>
    <xf numFmtId="6" fontId="0" fillId="0" borderId="1" xfId="0" applyNumberFormat="1" applyBorder="1"/>
    <xf numFmtId="0" fontId="0" fillId="0" borderId="0" xfId="0" applyAlignment="1">
      <alignment horizontal="left"/>
    </xf>
    <xf numFmtId="165" fontId="0" fillId="0" borderId="1" xfId="1" applyNumberFormat="1" applyFont="1" applyBorder="1"/>
    <xf numFmtId="165" fontId="0" fillId="0" borderId="0" xfId="1" applyNumberFormat="1" applyFont="1"/>
    <xf numFmtId="0" fontId="0" fillId="2" borderId="2" xfId="0" applyFill="1" applyBorder="1"/>
    <xf numFmtId="165" fontId="0" fillId="0" borderId="2" xfId="1" applyNumberFormat="1" applyFont="1" applyBorder="1"/>
    <xf numFmtId="164" fontId="0" fillId="0" borderId="2" xfId="2" applyNumberFormat="1" applyFont="1" applyBorder="1"/>
    <xf numFmtId="165" fontId="0" fillId="0" borderId="1" xfId="0" applyNumberFormat="1" applyBorder="1"/>
    <xf numFmtId="0" fontId="0" fillId="0" borderId="1" xfId="0" applyBorder="1" applyAlignment="1">
      <alignment horizontal="left"/>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0" xfId="0" applyAlignment="1">
      <alignment horizontal="left" wrapTex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EF11-7CFF-454B-A209-7DE09FA4F513}">
  <dimension ref="B1:J43"/>
  <sheetViews>
    <sheetView tabSelected="1" workbookViewId="0"/>
  </sheetViews>
  <sheetFormatPr defaultRowHeight="14.5" x14ac:dyDescent="0.35"/>
  <cols>
    <col min="1" max="1" width="2.81640625" customWidth="1"/>
    <col min="3" max="3" width="9.90625" bestFit="1" customWidth="1"/>
  </cols>
  <sheetData>
    <row r="1" spans="2:10" x14ac:dyDescent="0.35">
      <c r="B1" s="5" t="s">
        <v>20</v>
      </c>
    </row>
    <row r="2" spans="2:10" ht="14.5" customHeight="1" x14ac:dyDescent="0.35">
      <c r="C2" s="24" t="s">
        <v>6</v>
      </c>
      <c r="D2" s="24"/>
      <c r="E2" s="24"/>
      <c r="F2" s="24"/>
      <c r="G2" s="24"/>
      <c r="H2" s="24"/>
      <c r="I2" s="24"/>
      <c r="J2" s="24"/>
    </row>
    <row r="3" spans="2:10" x14ac:dyDescent="0.35">
      <c r="B3" s="4"/>
      <c r="C3" s="24"/>
      <c r="D3" s="24"/>
      <c r="E3" s="24"/>
      <c r="F3" s="24"/>
      <c r="G3" s="24"/>
      <c r="H3" s="24"/>
      <c r="I3" s="24"/>
      <c r="J3" s="24"/>
    </row>
    <row r="4" spans="2:10" x14ac:dyDescent="0.35">
      <c r="B4" s="4"/>
      <c r="C4" s="24"/>
      <c r="D4" s="24"/>
      <c r="E4" s="24"/>
      <c r="F4" s="24"/>
      <c r="G4" s="24"/>
      <c r="H4" s="24"/>
      <c r="I4" s="24"/>
      <c r="J4" s="24"/>
    </row>
    <row r="5" spans="2:10" x14ac:dyDescent="0.35">
      <c r="B5" s="4"/>
      <c r="C5" s="24"/>
      <c r="D5" s="24"/>
      <c r="E5" s="24"/>
      <c r="F5" s="24"/>
      <c r="G5" s="24"/>
      <c r="H5" s="24"/>
      <c r="I5" s="24"/>
      <c r="J5" s="24"/>
    </row>
    <row r="7" spans="2:10" x14ac:dyDescent="0.35">
      <c r="B7" s="1" t="s">
        <v>7</v>
      </c>
      <c r="C7" s="24" t="s">
        <v>8</v>
      </c>
      <c r="D7" s="24"/>
      <c r="E7" s="24"/>
      <c r="F7" s="24"/>
      <c r="G7" s="24"/>
      <c r="H7" s="24"/>
      <c r="I7" s="24"/>
      <c r="J7" s="24"/>
    </row>
    <row r="8" spans="2:10" x14ac:dyDescent="0.35">
      <c r="C8" s="24"/>
      <c r="D8" s="24"/>
      <c r="E8" s="24"/>
      <c r="F8" s="24"/>
      <c r="G8" s="24"/>
      <c r="H8" s="24"/>
      <c r="I8" s="24"/>
      <c r="J8" s="24"/>
    </row>
    <row r="9" spans="2:10" x14ac:dyDescent="0.35">
      <c r="C9" s="24"/>
      <c r="D9" s="24"/>
      <c r="E9" s="24"/>
      <c r="F9" s="24"/>
      <c r="G9" s="24"/>
      <c r="H9" s="24"/>
      <c r="I9" s="24"/>
      <c r="J9" s="24"/>
    </row>
    <row r="11" spans="2:10" x14ac:dyDescent="0.35">
      <c r="C11" s="3" t="s">
        <v>0</v>
      </c>
      <c r="D11" s="3">
        <v>6000</v>
      </c>
    </row>
    <row r="12" spans="2:10" x14ac:dyDescent="0.35">
      <c r="C12" s="3" t="s">
        <v>1</v>
      </c>
      <c r="D12" s="3">
        <v>7000</v>
      </c>
    </row>
    <row r="13" spans="2:10" x14ac:dyDescent="0.35">
      <c r="C13" s="3" t="s">
        <v>2</v>
      </c>
      <c r="D13" s="3">
        <v>5000</v>
      </c>
    </row>
    <row r="14" spans="2:10" x14ac:dyDescent="0.35">
      <c r="C14" s="3" t="s">
        <v>3</v>
      </c>
      <c r="D14" s="3">
        <v>4000</v>
      </c>
    </row>
    <row r="15" spans="2:10" x14ac:dyDescent="0.35">
      <c r="C15" s="3" t="s">
        <v>4</v>
      </c>
      <c r="D15" s="3">
        <v>3000</v>
      </c>
    </row>
    <row r="16" spans="2:10" x14ac:dyDescent="0.35">
      <c r="C16" s="3" t="s">
        <v>5</v>
      </c>
      <c r="D16" s="3">
        <v>3000</v>
      </c>
    </row>
    <row r="18" spans="2:10" x14ac:dyDescent="0.35">
      <c r="C18" s="26" t="s">
        <v>9</v>
      </c>
      <c r="D18" s="26"/>
      <c r="E18" s="26"/>
      <c r="F18" s="26"/>
      <c r="G18" s="26"/>
      <c r="H18" s="26"/>
      <c r="I18" s="26"/>
      <c r="J18" s="26"/>
    </row>
    <row r="20" spans="2:10" x14ac:dyDescent="0.35">
      <c r="B20" s="1" t="s">
        <v>10</v>
      </c>
      <c r="C20" s="24" t="s">
        <v>11</v>
      </c>
      <c r="D20" s="24"/>
      <c r="E20" s="24"/>
      <c r="F20" s="24"/>
      <c r="G20" s="24"/>
      <c r="H20" s="24"/>
      <c r="I20" s="24"/>
      <c r="J20" s="24"/>
    </row>
    <row r="21" spans="2:10" x14ac:dyDescent="0.35">
      <c r="C21" s="24"/>
      <c r="D21" s="24"/>
      <c r="E21" s="24"/>
      <c r="F21" s="24"/>
      <c r="G21" s="24"/>
      <c r="H21" s="24"/>
      <c r="I21" s="24"/>
      <c r="J21" s="24"/>
    </row>
    <row r="22" spans="2:10" x14ac:dyDescent="0.35">
      <c r="C22" s="24"/>
      <c r="D22" s="24"/>
      <c r="E22" s="24"/>
      <c r="F22" s="24"/>
      <c r="G22" s="24"/>
      <c r="H22" s="24"/>
      <c r="I22" s="24"/>
      <c r="J22" s="24"/>
    </row>
    <row r="23" spans="2:10" x14ac:dyDescent="0.35">
      <c r="C23" s="2"/>
      <c r="D23" s="2"/>
      <c r="E23" s="2"/>
      <c r="F23" s="2"/>
      <c r="G23" s="2"/>
      <c r="H23" s="2"/>
      <c r="I23" s="2"/>
      <c r="J23" s="2"/>
    </row>
    <row r="24" spans="2:10" x14ac:dyDescent="0.35">
      <c r="C24" s="23" t="s">
        <v>12</v>
      </c>
      <c r="D24" s="23"/>
      <c r="E24" s="23"/>
      <c r="F24" s="23"/>
      <c r="G24" s="2"/>
      <c r="H24" s="2"/>
      <c r="I24" s="2"/>
      <c r="J24" s="2"/>
    </row>
    <row r="25" spans="2:10" x14ac:dyDescent="0.35">
      <c r="C25" s="23" t="s">
        <v>13</v>
      </c>
      <c r="D25" s="23"/>
      <c r="E25" s="23"/>
      <c r="F25" s="23"/>
      <c r="G25" s="2"/>
      <c r="H25" s="2"/>
      <c r="I25" s="2"/>
      <c r="J25" s="2"/>
    </row>
    <row r="26" spans="2:10" x14ac:dyDescent="0.35">
      <c r="C26" s="23" t="s">
        <v>14</v>
      </c>
      <c r="D26" s="23"/>
      <c r="E26" s="23"/>
      <c r="F26" s="23"/>
      <c r="G26" s="2"/>
      <c r="H26" s="2"/>
      <c r="I26" s="2"/>
      <c r="J26" s="2"/>
    </row>
    <row r="27" spans="2:10" x14ac:dyDescent="0.35">
      <c r="C27" s="16"/>
      <c r="D27" s="16"/>
      <c r="E27" s="16"/>
      <c r="F27" s="16"/>
      <c r="G27" s="2"/>
      <c r="H27" s="2"/>
      <c r="I27" s="2"/>
      <c r="J27" s="2"/>
    </row>
    <row r="28" spans="2:10" x14ac:dyDescent="0.35">
      <c r="C28" s="25" t="s">
        <v>70</v>
      </c>
      <c r="D28" s="25"/>
      <c r="E28" s="25"/>
      <c r="F28" s="25"/>
      <c r="G28" s="25"/>
      <c r="H28" s="25"/>
      <c r="I28" s="25"/>
      <c r="J28" s="25"/>
    </row>
    <row r="30" spans="2:10" x14ac:dyDescent="0.35">
      <c r="B30" s="1" t="s">
        <v>17</v>
      </c>
      <c r="C30" s="24" t="s">
        <v>15</v>
      </c>
      <c r="D30" s="24"/>
      <c r="E30" s="24"/>
      <c r="F30" s="24"/>
      <c r="G30" s="24"/>
      <c r="H30" s="24"/>
      <c r="I30" s="24"/>
      <c r="J30" s="24"/>
    </row>
    <row r="31" spans="2:10" x14ac:dyDescent="0.35">
      <c r="C31" s="24"/>
      <c r="D31" s="24"/>
      <c r="E31" s="24"/>
      <c r="F31" s="24"/>
      <c r="G31" s="24"/>
      <c r="H31" s="24"/>
      <c r="I31" s="24"/>
      <c r="J31" s="24"/>
    </row>
    <row r="32" spans="2:10" x14ac:dyDescent="0.35">
      <c r="C32" s="24"/>
      <c r="D32" s="24"/>
      <c r="E32" s="24"/>
      <c r="F32" s="24"/>
      <c r="G32" s="24"/>
      <c r="H32" s="24"/>
      <c r="I32" s="24"/>
      <c r="J32" s="24"/>
    </row>
    <row r="34" spans="2:10" ht="14.5" customHeight="1" x14ac:dyDescent="0.35">
      <c r="B34" s="1" t="s">
        <v>18</v>
      </c>
      <c r="C34" s="24" t="s">
        <v>16</v>
      </c>
      <c r="D34" s="24"/>
      <c r="E34" s="24"/>
      <c r="F34" s="24"/>
      <c r="G34" s="24"/>
      <c r="H34" s="24"/>
      <c r="I34" s="24"/>
      <c r="J34" s="24"/>
    </row>
    <row r="35" spans="2:10" x14ac:dyDescent="0.35">
      <c r="C35" s="24"/>
      <c r="D35" s="24"/>
      <c r="E35" s="24"/>
      <c r="F35" s="24"/>
      <c r="G35" s="24"/>
      <c r="H35" s="24"/>
      <c r="I35" s="24"/>
      <c r="J35" s="24"/>
    </row>
    <row r="36" spans="2:10" x14ac:dyDescent="0.35">
      <c r="C36" s="24"/>
      <c r="D36" s="24"/>
      <c r="E36" s="24"/>
      <c r="F36" s="24"/>
      <c r="G36" s="24"/>
      <c r="H36" s="24"/>
      <c r="I36" s="24"/>
      <c r="J36" s="24"/>
    </row>
    <row r="37" spans="2:10" x14ac:dyDescent="0.35">
      <c r="C37" s="24"/>
      <c r="D37" s="24"/>
      <c r="E37" s="24"/>
      <c r="F37" s="24"/>
      <c r="G37" s="24"/>
      <c r="H37" s="24"/>
      <c r="I37" s="24"/>
      <c r="J37" s="24"/>
    </row>
    <row r="38" spans="2:10" x14ac:dyDescent="0.35">
      <c r="C38" s="24"/>
      <c r="D38" s="24"/>
      <c r="E38" s="24"/>
      <c r="F38" s="24"/>
      <c r="G38" s="24"/>
      <c r="H38" s="24"/>
      <c r="I38" s="24"/>
      <c r="J38" s="24"/>
    </row>
    <row r="40" spans="2:10" ht="14.5" customHeight="1" x14ac:dyDescent="0.35">
      <c r="B40" s="1" t="s">
        <v>17</v>
      </c>
      <c r="C40" s="24" t="s">
        <v>19</v>
      </c>
      <c r="D40" s="24"/>
      <c r="E40" s="24"/>
      <c r="F40" s="24"/>
      <c r="G40" s="24"/>
      <c r="H40" s="24"/>
      <c r="I40" s="24"/>
      <c r="J40" s="24"/>
    </row>
    <row r="41" spans="2:10" x14ac:dyDescent="0.35">
      <c r="C41" s="24"/>
      <c r="D41" s="24"/>
      <c r="E41" s="24"/>
      <c r="F41" s="24"/>
      <c r="G41" s="24"/>
      <c r="H41" s="24"/>
      <c r="I41" s="24"/>
      <c r="J41" s="24"/>
    </row>
    <row r="42" spans="2:10" x14ac:dyDescent="0.35">
      <c r="C42" s="24"/>
      <c r="D42" s="24"/>
      <c r="E42" s="24"/>
      <c r="F42" s="24"/>
      <c r="G42" s="24"/>
      <c r="H42" s="24"/>
      <c r="I42" s="24"/>
      <c r="J42" s="24"/>
    </row>
    <row r="43" spans="2:10" x14ac:dyDescent="0.35">
      <c r="C43" s="24"/>
      <c r="D43" s="24"/>
      <c r="E43" s="24"/>
      <c r="F43" s="24"/>
      <c r="G43" s="24"/>
      <c r="H43" s="24"/>
      <c r="I43" s="24"/>
      <c r="J43" s="24"/>
    </row>
  </sheetData>
  <mergeCells count="11">
    <mergeCell ref="C7:J9"/>
    <mergeCell ref="C18:J18"/>
    <mergeCell ref="C20:J22"/>
    <mergeCell ref="C30:J32"/>
    <mergeCell ref="C2:J5"/>
    <mergeCell ref="C24:F24"/>
    <mergeCell ref="C25:F25"/>
    <mergeCell ref="C26:F26"/>
    <mergeCell ref="C34:J38"/>
    <mergeCell ref="C40:J43"/>
    <mergeCell ref="C28:J28"/>
  </mergeCells>
  <phoneticPr fontId="2" type="noConversion"/>
  <pageMargins left="0.25"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FBB0-CDDF-44C1-ABB1-63B427EE03DF}">
  <dimension ref="B1:J14"/>
  <sheetViews>
    <sheetView workbookViewId="0">
      <selection activeCell="F17" sqref="F17"/>
    </sheetView>
  </sheetViews>
  <sheetFormatPr defaultRowHeight="14.5" x14ac:dyDescent="0.35"/>
  <cols>
    <col min="1" max="1" width="2.81640625" customWidth="1"/>
    <col min="3" max="3" width="19.90625" bestFit="1" customWidth="1"/>
    <col min="4" max="7" width="12.08984375" bestFit="1" customWidth="1"/>
  </cols>
  <sheetData>
    <row r="1" spans="2:10" x14ac:dyDescent="0.35">
      <c r="B1" s="5"/>
    </row>
    <row r="2" spans="2:10" ht="14.5" customHeight="1" x14ac:dyDescent="0.35">
      <c r="B2" s="1" t="s">
        <v>24</v>
      </c>
      <c r="C2" s="24" t="s">
        <v>25</v>
      </c>
      <c r="D2" s="24"/>
      <c r="E2" s="24"/>
      <c r="F2" s="24"/>
      <c r="G2" s="24"/>
      <c r="H2" s="24"/>
      <c r="I2" s="24"/>
      <c r="J2" s="24"/>
    </row>
    <row r="3" spans="2:10" x14ac:dyDescent="0.35">
      <c r="B3" s="4"/>
      <c r="C3" s="24"/>
      <c r="D3" s="24"/>
      <c r="E3" s="24"/>
      <c r="F3" s="24"/>
      <c r="G3" s="24"/>
      <c r="H3" s="24"/>
      <c r="I3" s="24"/>
      <c r="J3" s="24"/>
    </row>
    <row r="4" spans="2:10" x14ac:dyDescent="0.35">
      <c r="B4" s="4"/>
      <c r="C4" s="24"/>
      <c r="D4" s="24"/>
      <c r="E4" s="24"/>
      <c r="F4" s="24"/>
      <c r="G4" s="24"/>
      <c r="H4" s="24"/>
      <c r="I4" s="24"/>
      <c r="J4" s="24"/>
    </row>
    <row r="5" spans="2:10" x14ac:dyDescent="0.35">
      <c r="B5" s="4"/>
      <c r="C5" s="24"/>
      <c r="D5" s="24"/>
      <c r="E5" s="24"/>
      <c r="F5" s="24"/>
      <c r="G5" s="24"/>
      <c r="H5" s="24"/>
      <c r="I5" s="24"/>
      <c r="J5" s="24"/>
    </row>
    <row r="7" spans="2:10" x14ac:dyDescent="0.35">
      <c r="B7" s="1"/>
      <c r="C7" s="24" t="s">
        <v>26</v>
      </c>
      <c r="D7" s="24"/>
      <c r="E7" s="24"/>
      <c r="F7" s="24"/>
      <c r="G7" s="24"/>
      <c r="H7" s="24"/>
      <c r="I7" s="24"/>
      <c r="J7" s="24"/>
    </row>
    <row r="8" spans="2:10" x14ac:dyDescent="0.35">
      <c r="C8" s="24"/>
      <c r="D8" s="24"/>
      <c r="E8" s="24"/>
      <c r="F8" s="24"/>
      <c r="G8" s="24"/>
      <c r="H8" s="24"/>
      <c r="I8" s="24"/>
      <c r="J8" s="24"/>
    </row>
    <row r="9" spans="2:10" x14ac:dyDescent="0.35">
      <c r="C9" s="24"/>
      <c r="D9" s="24"/>
      <c r="E9" s="24"/>
      <c r="F9" s="24"/>
      <c r="G9" s="24"/>
      <c r="H9" s="24"/>
      <c r="I9" s="24"/>
      <c r="J9" s="24"/>
    </row>
    <row r="11" spans="2:10" x14ac:dyDescent="0.35">
      <c r="D11" s="11" t="s">
        <v>0</v>
      </c>
      <c r="E11" s="11" t="s">
        <v>1</v>
      </c>
      <c r="F11" s="11" t="s">
        <v>2</v>
      </c>
      <c r="G11" s="11" t="s">
        <v>27</v>
      </c>
    </row>
    <row r="12" spans="2:10" x14ac:dyDescent="0.35">
      <c r="C12" s="11" t="s">
        <v>21</v>
      </c>
      <c r="D12" s="3">
        <f>Intro!D11</f>
        <v>6000</v>
      </c>
      <c r="E12" s="3">
        <f>Intro!D12</f>
        <v>7000</v>
      </c>
      <c r="F12" s="3">
        <f>Intro!D13</f>
        <v>5000</v>
      </c>
      <c r="G12" s="3">
        <f>SUM(D12:F12)</f>
        <v>18000</v>
      </c>
    </row>
    <row r="13" spans="2:10" x14ac:dyDescent="0.35">
      <c r="C13" s="11" t="s">
        <v>22</v>
      </c>
      <c r="D13" s="15">
        <v>50</v>
      </c>
      <c r="E13" s="15">
        <v>50</v>
      </c>
      <c r="F13" s="15">
        <v>50</v>
      </c>
      <c r="G13" s="15">
        <v>50</v>
      </c>
    </row>
    <row r="14" spans="2:10" x14ac:dyDescent="0.35">
      <c r="C14" s="11" t="s">
        <v>23</v>
      </c>
      <c r="D14" s="9">
        <f>D12*D13</f>
        <v>300000</v>
      </c>
      <c r="E14" s="9">
        <f t="shared" ref="E14:F14" si="0">E12*E13</f>
        <v>350000</v>
      </c>
      <c r="F14" s="9">
        <f t="shared" si="0"/>
        <v>250000</v>
      </c>
      <c r="G14" s="9">
        <f>SUM(D14:F14)</f>
        <v>900000</v>
      </c>
    </row>
  </sheetData>
  <mergeCells count="2">
    <mergeCell ref="C2:J5"/>
    <mergeCell ref="C7:J9"/>
  </mergeCells>
  <phoneticPr fontId="2" type="noConversion"/>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CA59-B5DB-4F76-905F-D7209A45D46C}">
  <dimension ref="B1:M33"/>
  <sheetViews>
    <sheetView workbookViewId="0">
      <selection activeCell="F23" sqref="F23"/>
    </sheetView>
  </sheetViews>
  <sheetFormatPr defaultRowHeight="14.5" x14ac:dyDescent="0.35"/>
  <cols>
    <col min="1" max="1" width="2.81640625" customWidth="1"/>
    <col min="3" max="3" width="19.90625" bestFit="1" customWidth="1"/>
    <col min="4" max="7" width="12.08984375" bestFit="1" customWidth="1"/>
  </cols>
  <sheetData>
    <row r="1" spans="2:13" x14ac:dyDescent="0.35">
      <c r="B1" s="5"/>
    </row>
    <row r="2" spans="2:13" ht="14.5" customHeight="1" x14ac:dyDescent="0.35">
      <c r="B2" s="1" t="s">
        <v>36</v>
      </c>
      <c r="C2" s="24" t="s">
        <v>28</v>
      </c>
      <c r="D2" s="24"/>
      <c r="E2" s="24"/>
      <c r="F2" s="24"/>
      <c r="G2" s="24"/>
      <c r="H2" s="24"/>
      <c r="I2" s="24"/>
      <c r="J2" s="24"/>
    </row>
    <row r="3" spans="2:13" x14ac:dyDescent="0.35">
      <c r="B3" s="4"/>
      <c r="C3" s="24"/>
      <c r="D3" s="24"/>
      <c r="E3" s="24"/>
      <c r="F3" s="24"/>
      <c r="G3" s="24"/>
      <c r="H3" s="24"/>
      <c r="I3" s="24"/>
      <c r="J3" s="24"/>
    </row>
    <row r="4" spans="2:13" x14ac:dyDescent="0.35">
      <c r="B4" s="4"/>
      <c r="C4" s="24"/>
      <c r="D4" s="24"/>
      <c r="E4" s="24"/>
      <c r="F4" s="24"/>
      <c r="G4" s="24"/>
      <c r="H4" s="24"/>
      <c r="I4" s="24"/>
      <c r="J4" s="24"/>
    </row>
    <row r="5" spans="2:13" x14ac:dyDescent="0.35">
      <c r="B5" s="4"/>
      <c r="C5" s="24"/>
      <c r="D5" s="24"/>
      <c r="E5" s="24"/>
      <c r="F5" s="24"/>
      <c r="G5" s="24"/>
      <c r="H5" s="24"/>
      <c r="I5" s="24"/>
      <c r="J5" s="24"/>
    </row>
    <row r="7" spans="2:13" ht="14.5" customHeight="1" x14ac:dyDescent="0.35">
      <c r="B7" s="1"/>
      <c r="C7" s="24" t="s">
        <v>37</v>
      </c>
      <c r="D7" s="24"/>
      <c r="E7" s="24"/>
      <c r="F7" s="24"/>
      <c r="G7" s="24"/>
      <c r="H7" s="24"/>
      <c r="I7" s="24"/>
      <c r="J7" s="24"/>
    </row>
    <row r="8" spans="2:13" x14ac:dyDescent="0.35">
      <c r="C8" s="24"/>
      <c r="D8" s="24"/>
      <c r="E8" s="24"/>
      <c r="F8" s="24"/>
      <c r="G8" s="24"/>
      <c r="H8" s="24"/>
      <c r="I8" s="24"/>
      <c r="J8" s="24"/>
    </row>
    <row r="9" spans="2:13" x14ac:dyDescent="0.35">
      <c r="C9" s="24"/>
      <c r="D9" s="24"/>
      <c r="E9" s="24"/>
      <c r="F9" s="24"/>
      <c r="G9" s="24"/>
      <c r="H9" s="24"/>
      <c r="I9" s="24"/>
      <c r="J9" s="24"/>
    </row>
    <row r="10" spans="2:13" x14ac:dyDescent="0.35">
      <c r="C10" s="24"/>
      <c r="D10" s="24"/>
      <c r="E10" s="24"/>
      <c r="F10" s="24"/>
      <c r="G10" s="24"/>
      <c r="H10" s="24"/>
      <c r="I10" s="24"/>
      <c r="J10" s="24"/>
    </row>
    <row r="11" spans="2:13" x14ac:dyDescent="0.35">
      <c r="C11" s="24"/>
      <c r="D11" s="24"/>
      <c r="E11" s="24"/>
      <c r="F11" s="24"/>
      <c r="G11" s="24"/>
      <c r="H11" s="24"/>
      <c r="I11" s="24"/>
      <c r="J11" s="24"/>
    </row>
    <row r="12" spans="2:13" x14ac:dyDescent="0.35">
      <c r="C12" s="24"/>
      <c r="D12" s="24"/>
      <c r="E12" s="24"/>
      <c r="F12" s="24"/>
      <c r="G12" s="24"/>
      <c r="H12" s="24"/>
      <c r="I12" s="24"/>
      <c r="J12" s="24"/>
    </row>
    <row r="13" spans="2:13" x14ac:dyDescent="0.35">
      <c r="C13" s="24"/>
      <c r="D13" s="24"/>
      <c r="E13" s="24"/>
      <c r="F13" s="24"/>
      <c r="G13" s="24"/>
      <c r="H13" s="24"/>
      <c r="I13" s="24"/>
      <c r="J13" s="24"/>
    </row>
    <row r="14" spans="2:13" x14ac:dyDescent="0.35">
      <c r="C14" s="24"/>
      <c r="D14" s="24"/>
      <c r="E14" s="24"/>
      <c r="F14" s="24"/>
      <c r="G14" s="24"/>
      <c r="H14" s="24"/>
      <c r="I14" s="24"/>
      <c r="J14" s="24"/>
    </row>
    <row r="15" spans="2:13" x14ac:dyDescent="0.35">
      <c r="C15" s="4"/>
      <c r="D15" s="4"/>
      <c r="E15" s="4"/>
      <c r="F15" s="4"/>
      <c r="G15" s="4"/>
      <c r="H15" s="4"/>
      <c r="I15" s="4"/>
      <c r="J15" s="4"/>
    </row>
    <row r="16" spans="2:13" x14ac:dyDescent="0.35">
      <c r="C16" s="4"/>
      <c r="D16" s="4"/>
      <c r="E16" s="4"/>
      <c r="F16" s="4"/>
      <c r="G16" s="4"/>
      <c r="H16" s="4"/>
      <c r="I16" s="4"/>
      <c r="J16" s="4"/>
      <c r="M16" s="6"/>
    </row>
    <row r="17" spans="3:13" x14ac:dyDescent="0.35">
      <c r="D17" s="11" t="s">
        <v>0</v>
      </c>
      <c r="E17" s="11" t="s">
        <v>1</v>
      </c>
      <c r="F17" s="11" t="s">
        <v>2</v>
      </c>
      <c r="G17" s="11" t="s">
        <v>27</v>
      </c>
      <c r="H17" s="4"/>
      <c r="I17" s="4"/>
      <c r="J17" s="4"/>
      <c r="M17" s="7"/>
    </row>
    <row r="18" spans="3:13" x14ac:dyDescent="0.35">
      <c r="C18" s="11" t="s">
        <v>29</v>
      </c>
      <c r="D18" s="9">
        <v>130000</v>
      </c>
      <c r="E18" s="9"/>
      <c r="F18" s="9"/>
      <c r="G18" s="9">
        <f>SUM(D18:F18)</f>
        <v>130000</v>
      </c>
      <c r="H18" s="4"/>
      <c r="I18" s="4"/>
      <c r="J18" s="4"/>
    </row>
    <row r="19" spans="3:13" x14ac:dyDescent="0.35">
      <c r="C19" s="11" t="s">
        <v>30</v>
      </c>
      <c r="D19" s="9">
        <f>0.4*Intro!D11*50</f>
        <v>120000</v>
      </c>
      <c r="E19" s="9">
        <f>0.5*Intro!D11*50</f>
        <v>150000</v>
      </c>
      <c r="F19" s="9"/>
      <c r="G19" s="9">
        <f t="shared" ref="G19:G21" si="0">SUM(D19:F19)</f>
        <v>270000</v>
      </c>
      <c r="H19" s="4"/>
      <c r="I19" s="4"/>
      <c r="J19" s="4"/>
      <c r="M19" s="7"/>
    </row>
    <row r="20" spans="3:13" x14ac:dyDescent="0.35">
      <c r="C20" s="11" t="s">
        <v>31</v>
      </c>
      <c r="D20" s="9"/>
      <c r="E20" s="9">
        <f>0.4*Intro!D12*50</f>
        <v>140000</v>
      </c>
      <c r="F20" s="9">
        <f>0.5*Intro!D12*50</f>
        <v>175000</v>
      </c>
      <c r="G20" s="9">
        <f t="shared" si="0"/>
        <v>315000</v>
      </c>
      <c r="M20" s="7"/>
    </row>
    <row r="21" spans="3:13" x14ac:dyDescent="0.35">
      <c r="C21" s="11" t="s">
        <v>32</v>
      </c>
      <c r="D21" s="9"/>
      <c r="E21" s="9"/>
      <c r="F21" s="9">
        <f>0.4*Intro!D13*50</f>
        <v>100000</v>
      </c>
      <c r="G21" s="9">
        <f t="shared" si="0"/>
        <v>100000</v>
      </c>
      <c r="M21" s="7"/>
    </row>
    <row r="22" spans="3:13" x14ac:dyDescent="0.35">
      <c r="C22" s="11" t="s">
        <v>33</v>
      </c>
      <c r="D22" s="9">
        <f>SUM(D18:D21)</f>
        <v>250000</v>
      </c>
      <c r="E22" s="9">
        <f t="shared" ref="E22:G22" si="1">SUM(E18:E21)</f>
        <v>290000</v>
      </c>
      <c r="F22" s="9">
        <f t="shared" si="1"/>
        <v>275000</v>
      </c>
      <c r="G22" s="9">
        <f t="shared" si="1"/>
        <v>815000</v>
      </c>
    </row>
    <row r="23" spans="3:13" x14ac:dyDescent="0.35">
      <c r="M23" s="7"/>
    </row>
    <row r="24" spans="3:13" x14ac:dyDescent="0.35">
      <c r="M24" s="7"/>
    </row>
    <row r="25" spans="3:13" x14ac:dyDescent="0.35">
      <c r="M25" s="7"/>
    </row>
    <row r="27" spans="3:13" x14ac:dyDescent="0.35">
      <c r="M27" s="7"/>
    </row>
    <row r="28" spans="3:13" x14ac:dyDescent="0.35">
      <c r="M28" s="7"/>
    </row>
    <row r="30" spans="3:13" x14ac:dyDescent="0.35">
      <c r="M30" s="7"/>
    </row>
    <row r="31" spans="3:13" x14ac:dyDescent="0.35">
      <c r="M31" s="7"/>
    </row>
    <row r="32" spans="3:13" x14ac:dyDescent="0.35">
      <c r="M32" s="7"/>
    </row>
    <row r="33" spans="13:13" x14ac:dyDescent="0.35">
      <c r="M33" s="7"/>
    </row>
  </sheetData>
  <mergeCells count="2">
    <mergeCell ref="C2:J5"/>
    <mergeCell ref="C7:J14"/>
  </mergeCells>
  <pageMargins left="0.25" right="0.25"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55BF-B5EE-461C-A15E-94AF430A5CF3}">
  <dimension ref="B1:K19"/>
  <sheetViews>
    <sheetView topLeftCell="A4" workbookViewId="0">
      <selection activeCell="I15" sqref="I15"/>
    </sheetView>
  </sheetViews>
  <sheetFormatPr defaultRowHeight="14.5" x14ac:dyDescent="0.35"/>
  <cols>
    <col min="1" max="1" width="2.81640625" customWidth="1"/>
    <col min="3" max="3" width="23.453125" bestFit="1" customWidth="1"/>
    <col min="4" max="7" width="12.08984375" bestFit="1" customWidth="1"/>
    <col min="8" max="8" width="12.08984375" customWidth="1"/>
    <col min="9" max="9" width="9.90625" bestFit="1" customWidth="1"/>
  </cols>
  <sheetData>
    <row r="1" spans="2:11" x14ac:dyDescent="0.35">
      <c r="B1" s="5"/>
    </row>
    <row r="2" spans="2:11" ht="14.5" customHeight="1" x14ac:dyDescent="0.35">
      <c r="B2" s="1" t="s">
        <v>35</v>
      </c>
      <c r="C2" s="24" t="s">
        <v>34</v>
      </c>
      <c r="D2" s="24"/>
      <c r="E2" s="24"/>
      <c r="F2" s="24"/>
      <c r="G2" s="24"/>
      <c r="H2" s="24"/>
      <c r="I2" s="24"/>
      <c r="J2" s="24"/>
      <c r="K2" s="24"/>
    </row>
    <row r="3" spans="2:11" x14ac:dyDescent="0.35">
      <c r="B3" s="4"/>
      <c r="C3" s="24"/>
      <c r="D3" s="24"/>
      <c r="E3" s="24"/>
      <c r="F3" s="24"/>
      <c r="G3" s="24"/>
      <c r="H3" s="24"/>
      <c r="I3" s="24"/>
      <c r="J3" s="24"/>
      <c r="K3" s="24"/>
    </row>
    <row r="4" spans="2:11" x14ac:dyDescent="0.35">
      <c r="B4" s="4"/>
      <c r="C4" s="24"/>
      <c r="D4" s="24"/>
      <c r="E4" s="24"/>
      <c r="F4" s="24"/>
      <c r="G4" s="24"/>
      <c r="H4" s="24"/>
      <c r="I4" s="24"/>
      <c r="J4" s="24"/>
      <c r="K4" s="24"/>
    </row>
    <row r="5" spans="2:11" x14ac:dyDescent="0.35">
      <c r="B5" s="4"/>
      <c r="C5" s="24"/>
      <c r="D5" s="24"/>
      <c r="E5" s="24"/>
      <c r="F5" s="24"/>
      <c r="G5" s="24"/>
      <c r="H5" s="24"/>
      <c r="I5" s="24"/>
      <c r="J5" s="24"/>
      <c r="K5" s="24"/>
    </row>
    <row r="7" spans="2:11" ht="14.5" customHeight="1" x14ac:dyDescent="0.35">
      <c r="B7" s="1"/>
      <c r="C7" s="24" t="s">
        <v>38</v>
      </c>
      <c r="D7" s="24"/>
      <c r="E7" s="24"/>
      <c r="F7" s="24"/>
      <c r="G7" s="24"/>
      <c r="H7" s="24"/>
      <c r="I7" s="24"/>
      <c r="J7" s="24"/>
      <c r="K7" s="24"/>
    </row>
    <row r="8" spans="2:11" x14ac:dyDescent="0.35">
      <c r="C8" s="24"/>
      <c r="D8" s="24"/>
      <c r="E8" s="24"/>
      <c r="F8" s="24"/>
      <c r="G8" s="24"/>
      <c r="H8" s="24"/>
      <c r="I8" s="24"/>
      <c r="J8" s="24"/>
      <c r="K8" s="24"/>
    </row>
    <row r="9" spans="2:11" x14ac:dyDescent="0.35">
      <c r="C9" s="24"/>
      <c r="D9" s="24"/>
      <c r="E9" s="24"/>
      <c r="F9" s="24"/>
      <c r="G9" s="24"/>
      <c r="H9" s="24"/>
      <c r="I9" s="24"/>
      <c r="J9" s="24"/>
      <c r="K9" s="24"/>
    </row>
    <row r="10" spans="2:11" x14ac:dyDescent="0.35">
      <c r="C10" s="24"/>
      <c r="D10" s="24"/>
      <c r="E10" s="24"/>
      <c r="F10" s="24"/>
      <c r="G10" s="24"/>
      <c r="H10" s="24"/>
      <c r="I10" s="24"/>
      <c r="J10" s="24"/>
      <c r="K10" s="24"/>
    </row>
    <row r="13" spans="2:11" x14ac:dyDescent="0.35">
      <c r="D13" s="11" t="s">
        <v>0</v>
      </c>
      <c r="E13" s="11" t="s">
        <v>1</v>
      </c>
      <c r="F13" s="11" t="s">
        <v>2</v>
      </c>
      <c r="G13" s="11" t="s">
        <v>3</v>
      </c>
      <c r="H13" s="11" t="s">
        <v>4</v>
      </c>
      <c r="I13" s="11" t="s">
        <v>27</v>
      </c>
    </row>
    <row r="14" spans="2:11" x14ac:dyDescent="0.35">
      <c r="C14" s="11" t="s">
        <v>39</v>
      </c>
      <c r="D14" s="12">
        <f>Intro!D11</f>
        <v>6000</v>
      </c>
      <c r="E14" s="3">
        <f>Intro!D12</f>
        <v>7000</v>
      </c>
      <c r="F14" s="3">
        <f>Intro!D13</f>
        <v>5000</v>
      </c>
      <c r="G14" s="12">
        <f>Intro!D14</f>
        <v>4000</v>
      </c>
      <c r="H14" s="12">
        <f>Intro!D15</f>
        <v>3000</v>
      </c>
      <c r="I14" s="12">
        <f>SUM(D14:F14)</f>
        <v>18000</v>
      </c>
    </row>
    <row r="15" spans="2:11" x14ac:dyDescent="0.35">
      <c r="C15" s="13" t="s">
        <v>42</v>
      </c>
      <c r="D15" s="3">
        <f>0.1*E14</f>
        <v>700</v>
      </c>
      <c r="E15" s="3">
        <f t="shared" ref="E15" si="0">0.1*F14</f>
        <v>500</v>
      </c>
      <c r="F15" s="3">
        <f>0.1*G14</f>
        <v>400</v>
      </c>
      <c r="G15" s="3">
        <f>0.1*H14</f>
        <v>300</v>
      </c>
      <c r="H15" s="3"/>
      <c r="I15" s="12">
        <f>SUM(D15:F15)</f>
        <v>1600</v>
      </c>
    </row>
    <row r="16" spans="2:11" x14ac:dyDescent="0.35">
      <c r="C16" s="11" t="s">
        <v>40</v>
      </c>
      <c r="D16" s="9">
        <f>SUM(D14:D15)</f>
        <v>6700</v>
      </c>
      <c r="E16" s="9">
        <f t="shared" ref="E16:G16" si="1">SUM(E14:E15)</f>
        <v>7500</v>
      </c>
      <c r="F16" s="9">
        <f t="shared" si="1"/>
        <v>5400</v>
      </c>
      <c r="G16" s="9">
        <f t="shared" si="1"/>
        <v>4300</v>
      </c>
      <c r="H16" s="9"/>
      <c r="I16" s="12">
        <f>SUM(D16:F16)</f>
        <v>19600</v>
      </c>
    </row>
    <row r="17" spans="3:9" x14ac:dyDescent="0.35">
      <c r="C17" s="13" t="s">
        <v>43</v>
      </c>
      <c r="D17" s="3">
        <f>0.1*D14</f>
        <v>600</v>
      </c>
      <c r="E17" s="3">
        <f t="shared" ref="E17:F17" si="2">0.1*E14</f>
        <v>700</v>
      </c>
      <c r="F17" s="3">
        <f t="shared" si="2"/>
        <v>500</v>
      </c>
      <c r="G17" s="3">
        <f t="shared" ref="G17" si="3">0.1*G14</f>
        <v>400</v>
      </c>
      <c r="H17" s="3"/>
      <c r="I17" s="12">
        <f>SUM(D17:F17)</f>
        <v>1800</v>
      </c>
    </row>
    <row r="19" spans="3:9" x14ac:dyDescent="0.35">
      <c r="C19" s="14" t="s">
        <v>41</v>
      </c>
      <c r="D19" s="12">
        <f>D14+D15-D17</f>
        <v>6100</v>
      </c>
      <c r="E19" s="12">
        <f t="shared" ref="E19:F19" si="4">E14+E15-E17</f>
        <v>6800</v>
      </c>
      <c r="F19" s="12">
        <f t="shared" si="4"/>
        <v>4900</v>
      </c>
      <c r="G19" s="12">
        <f t="shared" ref="G19" si="5">G14+G15-G17</f>
        <v>3900</v>
      </c>
      <c r="H19" s="12"/>
      <c r="I19" s="12">
        <f>SUM(D19:F19)</f>
        <v>17800</v>
      </c>
    </row>
  </sheetData>
  <mergeCells count="2">
    <mergeCell ref="C2:K5"/>
    <mergeCell ref="C7:K10"/>
  </mergeCells>
  <phoneticPr fontId="2" type="noConversion"/>
  <pageMargins left="0.25" right="0.25"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592E-A1FF-43D1-AB0D-E8891E654D28}">
  <dimension ref="B1:J26"/>
  <sheetViews>
    <sheetView zoomScale="106" zoomScaleNormal="106" workbookViewId="0">
      <selection activeCell="J17" sqref="J17"/>
    </sheetView>
  </sheetViews>
  <sheetFormatPr defaultRowHeight="14.5" x14ac:dyDescent="0.35"/>
  <cols>
    <col min="1" max="1" width="2.81640625" customWidth="1"/>
    <col min="3" max="3" width="39.08984375" bestFit="1" customWidth="1"/>
    <col min="4" max="7" width="12.08984375" bestFit="1" customWidth="1"/>
  </cols>
  <sheetData>
    <row r="1" spans="2:10" x14ac:dyDescent="0.35">
      <c r="B1" s="5"/>
    </row>
    <row r="2" spans="2:10" ht="14.5" customHeight="1" x14ac:dyDescent="0.35">
      <c r="B2" s="1" t="s">
        <v>53</v>
      </c>
      <c r="C2" s="24" t="s">
        <v>52</v>
      </c>
      <c r="D2" s="24"/>
      <c r="E2" s="24"/>
      <c r="F2" s="24"/>
      <c r="G2" s="24"/>
      <c r="H2" s="24"/>
      <c r="I2" s="24"/>
      <c r="J2" s="24"/>
    </row>
    <row r="3" spans="2:10" x14ac:dyDescent="0.35">
      <c r="B3" s="4"/>
      <c r="C3" s="24"/>
      <c r="D3" s="24"/>
      <c r="E3" s="24"/>
      <c r="F3" s="24"/>
      <c r="G3" s="24"/>
      <c r="H3" s="24"/>
      <c r="I3" s="24"/>
      <c r="J3" s="24"/>
    </row>
    <row r="4" spans="2:10" x14ac:dyDescent="0.35">
      <c r="B4" s="4"/>
      <c r="C4" s="24"/>
      <c r="D4" s="24"/>
      <c r="E4" s="24"/>
      <c r="F4" s="24"/>
      <c r="G4" s="24"/>
      <c r="H4" s="24"/>
      <c r="I4" s="24"/>
      <c r="J4" s="24"/>
    </row>
    <row r="5" spans="2:10" x14ac:dyDescent="0.35">
      <c r="B5" s="4"/>
      <c r="C5" s="24"/>
      <c r="D5" s="24"/>
      <c r="E5" s="24"/>
      <c r="F5" s="24"/>
      <c r="G5" s="24"/>
      <c r="H5" s="24"/>
      <c r="I5" s="24"/>
      <c r="J5" s="24"/>
    </row>
    <row r="7" spans="2:10" ht="14.5" customHeight="1" x14ac:dyDescent="0.35">
      <c r="B7" s="1"/>
      <c r="C7" s="24" t="s">
        <v>44</v>
      </c>
      <c r="D7" s="24"/>
      <c r="E7" s="24"/>
      <c r="F7" s="24"/>
      <c r="G7" s="24"/>
      <c r="H7" s="24"/>
      <c r="I7" s="24"/>
      <c r="J7" s="24"/>
    </row>
    <row r="8" spans="2:10" x14ac:dyDescent="0.35">
      <c r="C8" s="24"/>
      <c r="D8" s="24"/>
      <c r="E8" s="24"/>
      <c r="F8" s="24"/>
      <c r="G8" s="24"/>
      <c r="H8" s="24"/>
      <c r="I8" s="24"/>
      <c r="J8" s="24"/>
    </row>
    <row r="9" spans="2:10" x14ac:dyDescent="0.35">
      <c r="C9" s="24"/>
      <c r="D9" s="24"/>
      <c r="E9" s="24"/>
      <c r="F9" s="24"/>
      <c r="G9" s="24"/>
      <c r="H9" s="24"/>
      <c r="I9" s="24"/>
      <c r="J9" s="24"/>
    </row>
    <row r="10" spans="2:10" x14ac:dyDescent="0.35">
      <c r="C10" s="24"/>
      <c r="D10" s="24"/>
      <c r="E10" s="24"/>
      <c r="F10" s="24"/>
      <c r="G10" s="24"/>
      <c r="H10" s="24"/>
      <c r="I10" s="24"/>
      <c r="J10" s="24"/>
    </row>
    <row r="11" spans="2:10" x14ac:dyDescent="0.35">
      <c r="C11" s="24"/>
      <c r="D11" s="24"/>
      <c r="E11" s="24"/>
      <c r="F11" s="24"/>
      <c r="G11" s="24"/>
      <c r="H11" s="24"/>
      <c r="I11" s="24"/>
      <c r="J11" s="24"/>
    </row>
    <row r="12" spans="2:10" x14ac:dyDescent="0.35">
      <c r="C12" s="24"/>
      <c r="D12" s="24"/>
      <c r="E12" s="24"/>
      <c r="F12" s="24"/>
      <c r="G12" s="24"/>
      <c r="H12" s="24"/>
      <c r="I12" s="24"/>
      <c r="J12" s="24"/>
    </row>
    <row r="15" spans="2:10" x14ac:dyDescent="0.35">
      <c r="D15" s="11" t="s">
        <v>0</v>
      </c>
      <c r="E15" s="11" t="s">
        <v>1</v>
      </c>
      <c r="F15" s="19" t="s">
        <v>2</v>
      </c>
      <c r="G15" s="11" t="s">
        <v>3</v>
      </c>
      <c r="H15" s="11" t="s">
        <v>27</v>
      </c>
    </row>
    <row r="16" spans="2:10" x14ac:dyDescent="0.35">
      <c r="C16" s="11" t="s">
        <v>45</v>
      </c>
      <c r="D16" s="17">
        <f>'3) Production Budget'!D19</f>
        <v>6100</v>
      </c>
      <c r="E16" s="17">
        <f>'3) Production Budget'!E19</f>
        <v>6800</v>
      </c>
      <c r="F16" s="20">
        <f>'3) Production Budget'!F19</f>
        <v>4900</v>
      </c>
      <c r="G16" s="17">
        <f>'3) Production Budget'!G19</f>
        <v>3900</v>
      </c>
      <c r="H16" s="22">
        <f>SUM(D16:F16)</f>
        <v>17800</v>
      </c>
    </row>
    <row r="17" spans="3:8" x14ac:dyDescent="0.35">
      <c r="C17" s="11" t="s">
        <v>46</v>
      </c>
      <c r="D17" s="17">
        <v>2</v>
      </c>
      <c r="E17" s="17">
        <v>2</v>
      </c>
      <c r="F17" s="20">
        <v>2</v>
      </c>
      <c r="G17" s="17">
        <v>2</v>
      </c>
      <c r="H17" s="17">
        <v>2</v>
      </c>
    </row>
    <row r="18" spans="3:8" x14ac:dyDescent="0.35">
      <c r="C18" s="11" t="s">
        <v>47</v>
      </c>
      <c r="D18" s="17">
        <f>D16*D17</f>
        <v>12200</v>
      </c>
      <c r="E18" s="17">
        <f t="shared" ref="E18:G18" si="0">E16*E17</f>
        <v>13600</v>
      </c>
      <c r="F18" s="20">
        <f t="shared" si="0"/>
        <v>9800</v>
      </c>
      <c r="G18" s="17">
        <f t="shared" si="0"/>
        <v>7800</v>
      </c>
      <c r="H18" s="22">
        <f>SUM(D18:F18)</f>
        <v>35600</v>
      </c>
    </row>
    <row r="19" spans="3:8" x14ac:dyDescent="0.35">
      <c r="C19" s="11" t="s">
        <v>48</v>
      </c>
      <c r="D19" s="17">
        <f>0.2*E18</f>
        <v>2720</v>
      </c>
      <c r="E19" s="17">
        <f t="shared" ref="E19" si="1">0.2*F18</f>
        <v>1960</v>
      </c>
      <c r="F19" s="20">
        <f>0.2*G18</f>
        <v>1560</v>
      </c>
      <c r="G19" s="17"/>
      <c r="H19" s="22">
        <f>F19</f>
        <v>1560</v>
      </c>
    </row>
    <row r="20" spans="3:8" x14ac:dyDescent="0.35">
      <c r="D20" s="18"/>
      <c r="E20" s="18"/>
      <c r="F20" s="18"/>
      <c r="G20" s="17"/>
      <c r="H20" s="3"/>
    </row>
    <row r="21" spans="3:8" x14ac:dyDescent="0.35">
      <c r="C21" s="11" t="s">
        <v>49</v>
      </c>
      <c r="D21" s="17">
        <f>SUM(D18:D19)</f>
        <v>14920</v>
      </c>
      <c r="E21" s="17">
        <f>SUM(E18:E19)</f>
        <v>15560</v>
      </c>
      <c r="F21" s="20">
        <f>SUM(F18:F19)</f>
        <v>11360</v>
      </c>
      <c r="G21" s="17"/>
      <c r="H21" s="17">
        <f>SUM(H18:H19)</f>
        <v>37160</v>
      </c>
    </row>
    <row r="22" spans="3:8" x14ac:dyDescent="0.35">
      <c r="D22" s="18"/>
      <c r="E22" s="18"/>
      <c r="F22" s="18"/>
      <c r="G22" s="17"/>
      <c r="H22" s="3"/>
    </row>
    <row r="23" spans="3:8" x14ac:dyDescent="0.35">
      <c r="C23" s="11" t="s">
        <v>71</v>
      </c>
      <c r="D23" s="17">
        <f>0.2*D18</f>
        <v>2440</v>
      </c>
      <c r="E23" s="17">
        <f t="shared" ref="E23:F23" si="2">0.2*E18</f>
        <v>2720</v>
      </c>
      <c r="F23" s="20">
        <f t="shared" si="2"/>
        <v>1960</v>
      </c>
      <c r="G23" s="17"/>
      <c r="H23" s="22">
        <f>D23</f>
        <v>2440</v>
      </c>
    </row>
    <row r="24" spans="3:8" x14ac:dyDescent="0.35">
      <c r="C24" s="11" t="s">
        <v>50</v>
      </c>
      <c r="D24" s="17">
        <f>D21-D23</f>
        <v>12480</v>
      </c>
      <c r="E24" s="17">
        <f>E21-E23</f>
        <v>12840</v>
      </c>
      <c r="F24" s="20">
        <f>F21-F23</f>
        <v>9400</v>
      </c>
      <c r="G24" s="17"/>
      <c r="H24" s="17">
        <f>H21-H23</f>
        <v>34720</v>
      </c>
    </row>
    <row r="25" spans="3:8" x14ac:dyDescent="0.35">
      <c r="G25" s="3"/>
      <c r="H25" s="3"/>
    </row>
    <row r="26" spans="3:8" x14ac:dyDescent="0.35">
      <c r="C26" s="11" t="s">
        <v>51</v>
      </c>
      <c r="D26" s="9">
        <f>D24*2.5</f>
        <v>31200</v>
      </c>
      <c r="E26" s="9">
        <f t="shared" ref="E26:H26" si="3">E24*2.5</f>
        <v>32100</v>
      </c>
      <c r="F26" s="21">
        <f t="shared" si="3"/>
        <v>23500</v>
      </c>
      <c r="G26" s="9"/>
      <c r="H26" s="9">
        <f t="shared" si="3"/>
        <v>86800</v>
      </c>
    </row>
  </sheetData>
  <mergeCells count="2">
    <mergeCell ref="C2:J5"/>
    <mergeCell ref="C7:J12"/>
  </mergeCells>
  <pageMargins left="0.25" right="0.25"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E1AF-9A53-4841-89D9-9150CC556837}">
  <dimension ref="B1:J24"/>
  <sheetViews>
    <sheetView zoomScale="106" zoomScaleNormal="106" workbookViewId="0">
      <selection activeCell="G24" sqref="G24"/>
    </sheetView>
  </sheetViews>
  <sheetFormatPr defaultRowHeight="14.5" x14ac:dyDescent="0.35"/>
  <cols>
    <col min="1" max="1" width="2.81640625" customWidth="1"/>
    <col min="3" max="3" width="39.08984375" bestFit="1" customWidth="1"/>
    <col min="4" max="7" width="12.08984375" bestFit="1" customWidth="1"/>
  </cols>
  <sheetData>
    <row r="1" spans="2:10" ht="14.5" customHeight="1" x14ac:dyDescent="0.35">
      <c r="B1" s="5"/>
    </row>
    <row r="2" spans="2:10" ht="14.5" customHeight="1" x14ac:dyDescent="0.35">
      <c r="B2" s="1" t="s">
        <v>53</v>
      </c>
      <c r="C2" s="24" t="s">
        <v>54</v>
      </c>
      <c r="D2" s="24"/>
      <c r="E2" s="24"/>
      <c r="F2" s="24"/>
      <c r="G2" s="24"/>
      <c r="H2" s="4"/>
      <c r="I2" s="4"/>
      <c r="J2" s="4"/>
    </row>
    <row r="3" spans="2:10" x14ac:dyDescent="0.35">
      <c r="B3" s="4"/>
      <c r="C3" s="24"/>
      <c r="D3" s="24"/>
      <c r="E3" s="24"/>
      <c r="F3" s="24"/>
      <c r="G3" s="24"/>
      <c r="H3" s="4"/>
      <c r="I3" s="4"/>
      <c r="J3" s="4"/>
    </row>
    <row r="4" spans="2:10" x14ac:dyDescent="0.35">
      <c r="B4" s="4"/>
      <c r="C4" s="24"/>
      <c r="D4" s="24"/>
      <c r="E4" s="24"/>
      <c r="F4" s="24"/>
      <c r="G4" s="24"/>
      <c r="H4" s="4"/>
      <c r="I4" s="4"/>
      <c r="J4" s="4"/>
    </row>
    <row r="5" spans="2:10" x14ac:dyDescent="0.35">
      <c r="B5" s="4"/>
      <c r="C5" s="4"/>
      <c r="D5" s="4"/>
      <c r="E5" s="4"/>
      <c r="F5" s="4"/>
      <c r="G5" s="4"/>
      <c r="H5" s="4"/>
      <c r="I5" s="4"/>
      <c r="J5" s="4"/>
    </row>
    <row r="7" spans="2:10" x14ac:dyDescent="0.35">
      <c r="D7" s="11" t="s">
        <v>0</v>
      </c>
      <c r="E7" s="11" t="s">
        <v>1</v>
      </c>
      <c r="F7" s="11" t="s">
        <v>2</v>
      </c>
      <c r="G7" s="11" t="s">
        <v>27</v>
      </c>
    </row>
    <row r="8" spans="2:10" x14ac:dyDescent="0.35">
      <c r="C8" s="3" t="s">
        <v>59</v>
      </c>
      <c r="D8" s="9">
        <v>11400</v>
      </c>
      <c r="E8" s="9"/>
      <c r="F8" s="9"/>
      <c r="G8" s="9">
        <f>SUM(D8:F8)</f>
        <v>11400</v>
      </c>
    </row>
    <row r="9" spans="2:10" x14ac:dyDescent="0.35">
      <c r="C9" s="3" t="s">
        <v>55</v>
      </c>
      <c r="D9" s="9">
        <f>'4) DM Purchases Budget'!D26*0.6</f>
        <v>18720</v>
      </c>
      <c r="E9" s="9">
        <f>'4) DM Purchases Budget'!D26*0.4</f>
        <v>12480</v>
      </c>
      <c r="F9" s="9"/>
      <c r="G9" s="9">
        <f t="shared" ref="G9:G12" si="0">SUM(D9:F9)</f>
        <v>31200</v>
      </c>
    </row>
    <row r="10" spans="2:10" x14ac:dyDescent="0.35">
      <c r="C10" s="3" t="s">
        <v>56</v>
      </c>
      <c r="D10" s="9"/>
      <c r="E10" s="9">
        <f>'4) DM Purchases Budget'!E26*0.6</f>
        <v>19260</v>
      </c>
      <c r="F10" s="9">
        <f>'4) DM Purchases Budget'!E26*0.4</f>
        <v>12840</v>
      </c>
      <c r="G10" s="9">
        <f t="shared" si="0"/>
        <v>32100</v>
      </c>
    </row>
    <row r="11" spans="2:10" x14ac:dyDescent="0.35">
      <c r="C11" s="3" t="s">
        <v>57</v>
      </c>
      <c r="D11" s="9"/>
      <c r="E11" s="9"/>
      <c r="F11" s="9">
        <f>'4) DM Purchases Budget'!F26*0.6</f>
        <v>14100</v>
      </c>
      <c r="G11" s="9">
        <f t="shared" si="0"/>
        <v>14100</v>
      </c>
    </row>
    <row r="12" spans="2:10" x14ac:dyDescent="0.35">
      <c r="C12" s="3" t="s">
        <v>58</v>
      </c>
      <c r="D12" s="9">
        <f>SUM(D8:D11)</f>
        <v>30120</v>
      </c>
      <c r="E12" s="9">
        <f t="shared" ref="E12:F12" si="1">SUM(E8:E11)</f>
        <v>31740</v>
      </c>
      <c r="F12" s="9">
        <f t="shared" si="1"/>
        <v>26940</v>
      </c>
      <c r="G12" s="9">
        <f t="shared" si="0"/>
        <v>88800</v>
      </c>
    </row>
    <row r="13" spans="2:10" x14ac:dyDescent="0.35">
      <c r="J13" s="6"/>
    </row>
    <row r="14" spans="2:10" x14ac:dyDescent="0.35">
      <c r="J14" s="6"/>
    </row>
    <row r="17" spans="10:10" x14ac:dyDescent="0.35">
      <c r="J17" s="6"/>
    </row>
    <row r="18" spans="10:10" x14ac:dyDescent="0.35">
      <c r="J18" s="6"/>
    </row>
    <row r="19" spans="10:10" x14ac:dyDescent="0.35">
      <c r="J19" s="6"/>
    </row>
    <row r="23" spans="10:10" x14ac:dyDescent="0.35">
      <c r="J23" s="6"/>
    </row>
    <row r="24" spans="10:10" x14ac:dyDescent="0.35">
      <c r="J24" s="6"/>
    </row>
  </sheetData>
  <mergeCells count="1">
    <mergeCell ref="C2:G4"/>
  </mergeCells>
  <pageMargins left="0.25" right="0.25"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1C16-C754-4332-A9C9-C171FBB33AED}">
  <dimension ref="B1:L27"/>
  <sheetViews>
    <sheetView zoomScale="106" zoomScaleNormal="106" workbookViewId="0">
      <selection activeCell="J29" sqref="J29"/>
    </sheetView>
  </sheetViews>
  <sheetFormatPr defaultRowHeight="14.5" x14ac:dyDescent="0.35"/>
  <cols>
    <col min="1" max="1" width="2.81640625" customWidth="1"/>
    <col min="3" max="3" width="39.08984375" bestFit="1" customWidth="1"/>
    <col min="4" max="6" width="12.08984375" bestFit="1" customWidth="1"/>
    <col min="7" max="7" width="12.54296875" bestFit="1" customWidth="1"/>
  </cols>
  <sheetData>
    <row r="1" spans="2:10" x14ac:dyDescent="0.35">
      <c r="B1" s="5"/>
    </row>
    <row r="2" spans="2:10" ht="14.5" customHeight="1" x14ac:dyDescent="0.35">
      <c r="B2" s="1" t="s">
        <v>61</v>
      </c>
      <c r="C2" s="24" t="s">
        <v>60</v>
      </c>
      <c r="D2" s="24"/>
      <c r="E2" s="24"/>
      <c r="F2" s="24"/>
      <c r="G2" s="24"/>
      <c r="H2" s="24"/>
      <c r="I2" s="24"/>
      <c r="J2" s="24"/>
    </row>
    <row r="3" spans="2:10" x14ac:dyDescent="0.35">
      <c r="B3" s="4"/>
      <c r="C3" s="24"/>
      <c r="D3" s="24"/>
      <c r="E3" s="24"/>
      <c r="F3" s="24"/>
      <c r="G3" s="24"/>
      <c r="H3" s="24"/>
      <c r="I3" s="24"/>
      <c r="J3" s="24"/>
    </row>
    <row r="4" spans="2:10" x14ac:dyDescent="0.35">
      <c r="B4" s="4"/>
      <c r="C4" s="24"/>
      <c r="D4" s="24"/>
      <c r="E4" s="24"/>
      <c r="F4" s="24"/>
      <c r="G4" s="24"/>
      <c r="H4" s="24"/>
      <c r="I4" s="24"/>
      <c r="J4" s="24"/>
    </row>
    <row r="5" spans="2:10" x14ac:dyDescent="0.35">
      <c r="B5" s="4"/>
      <c r="C5" s="24"/>
      <c r="D5" s="24"/>
      <c r="E5" s="24"/>
      <c r="F5" s="24"/>
      <c r="G5" s="24"/>
      <c r="H5" s="24"/>
      <c r="I5" s="24"/>
      <c r="J5" s="24"/>
    </row>
    <row r="7" spans="2:10" ht="14.5" customHeight="1" x14ac:dyDescent="0.35">
      <c r="B7" s="1"/>
      <c r="C7" s="24" t="s">
        <v>62</v>
      </c>
      <c r="D7" s="24"/>
      <c r="E7" s="24"/>
      <c r="F7" s="24"/>
      <c r="G7" s="24"/>
      <c r="H7" s="24"/>
      <c r="I7" s="24"/>
      <c r="J7" s="24"/>
    </row>
    <row r="8" spans="2:10" x14ac:dyDescent="0.35">
      <c r="C8" s="24"/>
      <c r="D8" s="24"/>
      <c r="E8" s="24"/>
      <c r="F8" s="24"/>
      <c r="G8" s="24"/>
      <c r="H8" s="24"/>
      <c r="I8" s="24"/>
      <c r="J8" s="24"/>
    </row>
    <row r="9" spans="2:10" x14ac:dyDescent="0.35">
      <c r="C9" s="24"/>
      <c r="D9" s="24"/>
      <c r="E9" s="24"/>
      <c r="F9" s="24"/>
      <c r="G9" s="24"/>
      <c r="H9" s="24"/>
      <c r="I9" s="24"/>
      <c r="J9" s="24"/>
    </row>
    <row r="10" spans="2:10" x14ac:dyDescent="0.35">
      <c r="C10" s="24"/>
      <c r="D10" s="24"/>
      <c r="E10" s="24"/>
      <c r="F10" s="24"/>
      <c r="G10" s="24"/>
      <c r="H10" s="24"/>
      <c r="I10" s="24"/>
      <c r="J10" s="24"/>
    </row>
    <row r="11" spans="2:10" x14ac:dyDescent="0.35">
      <c r="C11" s="24"/>
      <c r="D11" s="24"/>
      <c r="E11" s="24"/>
      <c r="F11" s="24"/>
      <c r="G11" s="24"/>
      <c r="H11" s="24"/>
      <c r="I11" s="24"/>
      <c r="J11" s="24"/>
    </row>
    <row r="12" spans="2:10" x14ac:dyDescent="0.35">
      <c r="C12" s="24"/>
      <c r="D12" s="24"/>
      <c r="E12" s="24"/>
      <c r="F12" s="24"/>
      <c r="G12" s="24"/>
      <c r="H12" s="24"/>
      <c r="I12" s="24"/>
      <c r="J12" s="24"/>
    </row>
    <row r="15" spans="2:10" x14ac:dyDescent="0.35">
      <c r="D15" s="11" t="s">
        <v>0</v>
      </c>
      <c r="E15" s="11" t="s">
        <v>1</v>
      </c>
      <c r="F15" s="11" t="s">
        <v>2</v>
      </c>
      <c r="G15" s="11" t="s">
        <v>27</v>
      </c>
    </row>
    <row r="16" spans="2:10" x14ac:dyDescent="0.35">
      <c r="C16" s="11" t="s">
        <v>69</v>
      </c>
      <c r="D16" s="12">
        <f>'4) DM Purchases Budget'!D16</f>
        <v>6100</v>
      </c>
      <c r="E16" s="12">
        <f>'4) DM Purchases Budget'!E16</f>
        <v>6800</v>
      </c>
      <c r="F16" s="12">
        <f>'4) DM Purchases Budget'!F16</f>
        <v>4900</v>
      </c>
      <c r="G16" s="12">
        <f>SUM(D16:F16)</f>
        <v>17800</v>
      </c>
    </row>
    <row r="17" spans="3:12" x14ac:dyDescent="0.35">
      <c r="C17" s="11" t="s">
        <v>63</v>
      </c>
      <c r="D17" s="8">
        <v>0.4</v>
      </c>
      <c r="E17" s="8">
        <v>0.4</v>
      </c>
      <c r="F17" s="8">
        <v>0.4</v>
      </c>
      <c r="G17" s="8">
        <v>0.4</v>
      </c>
    </row>
    <row r="19" spans="3:12" x14ac:dyDescent="0.35">
      <c r="C19" s="11" t="s">
        <v>64</v>
      </c>
      <c r="D19" s="9">
        <f>D16*D17</f>
        <v>2440</v>
      </c>
      <c r="E19" s="9">
        <f>E16*E17</f>
        <v>2720</v>
      </c>
      <c r="F19" s="9">
        <f>F16*F17</f>
        <v>1960</v>
      </c>
      <c r="G19" s="9">
        <f>G16*G17</f>
        <v>7120</v>
      </c>
    </row>
    <row r="21" spans="3:12" x14ac:dyDescent="0.35">
      <c r="C21" s="11" t="s">
        <v>65</v>
      </c>
      <c r="D21" s="9">
        <f>875000/12</f>
        <v>72916.666666666672</v>
      </c>
      <c r="E21" s="9">
        <f t="shared" ref="E21:F21" si="0">875000/12</f>
        <v>72916.666666666672</v>
      </c>
      <c r="F21" s="9">
        <f t="shared" si="0"/>
        <v>72916.666666666672</v>
      </c>
      <c r="G21" s="9">
        <f>SUM(D21:F21)</f>
        <v>218750</v>
      </c>
    </row>
    <row r="22" spans="3:12" x14ac:dyDescent="0.35">
      <c r="D22" s="10"/>
      <c r="E22" s="10"/>
      <c r="F22" s="10"/>
      <c r="G22" s="10"/>
      <c r="L22" s="7"/>
    </row>
    <row r="23" spans="3:12" x14ac:dyDescent="0.35">
      <c r="C23" s="11" t="s">
        <v>66</v>
      </c>
      <c r="D23" s="9">
        <f>SUM(D19:D21)</f>
        <v>75356.666666666672</v>
      </c>
      <c r="E23" s="9">
        <f>SUM(E19:E21)</f>
        <v>75636.666666666672</v>
      </c>
      <c r="F23" s="9">
        <f>SUM(F19:F21)</f>
        <v>74876.666666666672</v>
      </c>
      <c r="G23" s="9">
        <f>SUM(G19:G21)</f>
        <v>225870</v>
      </c>
      <c r="L23" s="7"/>
    </row>
    <row r="24" spans="3:12" x14ac:dyDescent="0.35">
      <c r="D24" s="10"/>
      <c r="E24" s="10"/>
      <c r="F24" s="10"/>
      <c r="G24" s="10"/>
    </row>
    <row r="25" spans="3:12" x14ac:dyDescent="0.35">
      <c r="C25" s="11" t="s">
        <v>67</v>
      </c>
      <c r="D25" s="9">
        <f>240000/12</f>
        <v>20000</v>
      </c>
      <c r="E25" s="9">
        <f t="shared" ref="E25:F25" si="1">240000/12</f>
        <v>20000</v>
      </c>
      <c r="F25" s="9">
        <f t="shared" si="1"/>
        <v>20000</v>
      </c>
      <c r="G25" s="9">
        <f>SUM(D25:F25)</f>
        <v>60000</v>
      </c>
    </row>
    <row r="26" spans="3:12" x14ac:dyDescent="0.35">
      <c r="D26" s="10"/>
      <c r="E26" s="10"/>
      <c r="F26" s="10"/>
      <c r="G26" s="10"/>
    </row>
    <row r="27" spans="3:12" x14ac:dyDescent="0.35">
      <c r="C27" s="11" t="s">
        <v>68</v>
      </c>
      <c r="D27" s="9">
        <f>D23-D25</f>
        <v>55356.666666666672</v>
      </c>
      <c r="E27" s="9">
        <f t="shared" ref="E27:G27" si="2">E23-E25</f>
        <v>55636.666666666672</v>
      </c>
      <c r="F27" s="9">
        <f t="shared" si="2"/>
        <v>54876.666666666672</v>
      </c>
      <c r="G27" s="9">
        <f t="shared" si="2"/>
        <v>165870</v>
      </c>
    </row>
  </sheetData>
  <mergeCells count="2">
    <mergeCell ref="C2:J5"/>
    <mergeCell ref="C7:J12"/>
  </mergeCells>
  <pageMargins left="0.25" right="0.25"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vt:lpstr>
      <vt:lpstr>1) Sales Budget</vt:lpstr>
      <vt:lpstr>2) Cash Collection</vt:lpstr>
      <vt:lpstr>3) Production Budget</vt:lpstr>
      <vt:lpstr>4) DM Purchases Budget</vt:lpstr>
      <vt:lpstr>5) Cash Disbursements</vt:lpstr>
      <vt:lpstr>6) Manufacturing OH 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Marin</dc:creator>
  <cp:lastModifiedBy>Elisa Zuliani</cp:lastModifiedBy>
  <dcterms:created xsi:type="dcterms:W3CDTF">2022-03-07T19:24:49Z</dcterms:created>
  <dcterms:modified xsi:type="dcterms:W3CDTF">2025-10-05T21:16:56Z</dcterms:modified>
</cp:coreProperties>
</file>